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5.xml" ContentType="application/vnd.openxmlformats-officedocument.drawing+xml"/>
  <Override PartName="/xl/ctrlProps/ctrlProp41.xml" ContentType="application/vnd.ms-excel.controlproperties+xml"/>
  <Override PartName="/xl/drawings/drawing6.xml" ContentType="application/vnd.openxmlformats-officedocument.drawing+xml"/>
  <Override PartName="/xl/ctrlProps/ctrlProp42.xml" ContentType="application/vnd.ms-excel.controlproperties+xml"/>
  <Override PartName="/xl/drawings/drawing7.xml" ContentType="application/vnd.openxmlformats-officedocument.drawing+xml"/>
  <Override PartName="/xl/ctrlProps/ctrlProp43.xml" ContentType="application/vnd.ms-excel.controlproperties+xml"/>
  <Override PartName="/xl/drawings/drawing8.xml" ContentType="application/vnd.openxmlformats-officedocument.drawing+xml"/>
  <Override PartName="/xl/ctrlProps/ctrlProp4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yazaki-my.sharepoint.com/personal/catarina_silva_yazaki-europe_com/Documents/Desktop/Cursinho/"/>
    </mc:Choice>
  </mc:AlternateContent>
  <xr:revisionPtr revIDLastSave="1275" documentId="8_{BB034A8E-ED57-4F9C-86E0-6B0C9533BEE6}" xr6:coauthVersionLast="47" xr6:coauthVersionMax="47" xr10:uidLastSave="{2E585721-E12A-4D4A-862E-034BF0946E94}"/>
  <bookViews>
    <workbookView xWindow="-28920" yWindow="-120" windowWidth="29040" windowHeight="15840" activeTab="5" xr2:uid="{E80A5DF7-9866-442A-AF46-7B885947EFC5}"/>
  </bookViews>
  <sheets>
    <sheet name="Combo box" sheetId="1" r:id="rId1"/>
    <sheet name="Dados1" sheetId="2" r:id="rId2"/>
    <sheet name="CheckBox-OptionButton-GroupBox" sheetId="3" r:id="rId3"/>
    <sheet name="Desafio 1" sheetId="4" r:id="rId4"/>
    <sheet name="Desafio 2" sheetId="5" r:id="rId5"/>
    <sheet name="Scroll Bar" sheetId="6" r:id="rId6"/>
    <sheet name="Spin Button" sheetId="7" r:id="rId7"/>
    <sheet name="List Box" sheetId="8" r:id="rId8"/>
    <sheet name="Desafio 3" sheetId="9" r:id="rId9"/>
  </sheets>
  <definedNames>
    <definedName name="ListaDinamica">OFFSET(Dados1!$A$1,0,0,COUNTA(Dados1!$A:$A),1)</definedName>
    <definedName name="ListaDinamicaB">OFFSET(Dados1!$B$1,0,0,COUNTA(Dados1!$B:$B))</definedName>
    <definedName name="ListaProdutos">OFFSET('List Box'!$A$1,0,0,COUNTA('List Box'!$A:$A),1)</definedName>
    <definedName name="Nomes">OFFSET('Desafio 3'!$B$1,3,0,COUNTA('Desafio 3'!$B$4:$B$1048576),1)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9" l="1" a="1"/>
  <c r="E4" i="9" s="1"/>
  <c r="F4" i="9" s="1"/>
  <c r="C8" i="8" l="1" a="1"/>
  <c r="C8" i="8" s="1"/>
  <c r="J1" i="6" a="1"/>
  <c r="J1" i="6" s="1"/>
  <c r="D73" i="5"/>
  <c r="D77" i="5"/>
  <c r="D76" i="5"/>
  <c r="D75" i="5"/>
  <c r="D71" i="5"/>
  <c r="D74" i="5"/>
  <c r="D72" i="5"/>
  <c r="D70" i="5"/>
  <c r="E28" i="4"/>
  <c r="F7" i="3" l="1"/>
  <c r="A7" i="3"/>
  <c r="B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<sst xmlns="http://schemas.openxmlformats.org/spreadsheetml/2006/main" count="74" uniqueCount="66">
  <si>
    <t>+</t>
  </si>
  <si>
    <t>Selecione Valor A</t>
  </si>
  <si>
    <t>Selecione valor B</t>
  </si>
  <si>
    <t>Pesquisa de Satisfação</t>
  </si>
  <si>
    <t>Gostou do curso?</t>
  </si>
  <si>
    <t>Tabela de Preços</t>
  </si>
  <si>
    <t xml:space="preserve">Soma  = </t>
  </si>
  <si>
    <t>Chocolate amargo com pedaços de toffee</t>
  </si>
  <si>
    <t>Chocolate amargo com amêndoa</t>
  </si>
  <si>
    <t>Chocolate branco</t>
  </si>
  <si>
    <t>Chocolate de leite com sal marinho</t>
  </si>
  <si>
    <t>Chocolate de leite com frutas e nozes</t>
  </si>
  <si>
    <t>Frete</t>
  </si>
  <si>
    <t>Checklist de Produtos</t>
  </si>
  <si>
    <t>Total:</t>
  </si>
  <si>
    <t>Formulário de Candidatura a Emprego</t>
  </si>
  <si>
    <t>Nome:</t>
  </si>
  <si>
    <t>Data de nascimento:</t>
  </si>
  <si>
    <t>Ficha do Candidato</t>
  </si>
  <si>
    <t>Estado Civil:</t>
  </si>
  <si>
    <t>Nacionalidade</t>
  </si>
  <si>
    <t>Carta de Condução:</t>
  </si>
  <si>
    <t>Situação Atual:</t>
  </si>
  <si>
    <t>Disponibilidade/Turnos:</t>
  </si>
  <si>
    <t>Experiência/Vaga:</t>
  </si>
  <si>
    <t>Catarina Silva</t>
  </si>
  <si>
    <t>Funcionário</t>
  </si>
  <si>
    <t>Janeiro</t>
  </si>
  <si>
    <t>Fevereiro</t>
  </si>
  <si>
    <t>Março</t>
  </si>
  <si>
    <t>Abril</t>
  </si>
  <si>
    <t>Maio</t>
  </si>
  <si>
    <t>Junho</t>
  </si>
  <si>
    <t>Maria</t>
  </si>
  <si>
    <t>João</t>
  </si>
  <si>
    <t>Marcos</t>
  </si>
  <si>
    <t>José</t>
  </si>
  <si>
    <t>Sebastião</t>
  </si>
  <si>
    <t>Aline</t>
  </si>
  <si>
    <t>Michele</t>
  </si>
  <si>
    <t>Rodrigo</t>
  </si>
  <si>
    <t>Idade</t>
  </si>
  <si>
    <t>Produto 1</t>
  </si>
  <si>
    <t>Produto 2</t>
  </si>
  <si>
    <t>Produto 3</t>
  </si>
  <si>
    <t>Produto 4</t>
  </si>
  <si>
    <t>Produto 5</t>
  </si>
  <si>
    <t>Produto 6</t>
  </si>
  <si>
    <t>Produto 7</t>
  </si>
  <si>
    <t>Produto 8</t>
  </si>
  <si>
    <t>Produto 9</t>
  </si>
  <si>
    <t>Produto 10</t>
  </si>
  <si>
    <t>Produto 11</t>
  </si>
  <si>
    <t>Produto 12</t>
  </si>
  <si>
    <t>Jan</t>
  </si>
  <si>
    <t>Isabel</t>
  </si>
  <si>
    <t>Susana</t>
  </si>
  <si>
    <t>Afonso</t>
  </si>
  <si>
    <t>Tomás</t>
  </si>
  <si>
    <t xml:space="preserve">Clara </t>
  </si>
  <si>
    <t>Eva</t>
  </si>
  <si>
    <t>Patrícia</t>
  </si>
  <si>
    <t>Tiago</t>
  </si>
  <si>
    <t>Ana</t>
  </si>
  <si>
    <t>Sofia</t>
  </si>
  <si>
    <t>Vanessa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</si>
</sst>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* #,##0.00\ [$€-816]_-;\-* #,##0.00\ [$€-816]_-;_-* &quot;-&quot;??\ [$€-816]_-;_-@_-"/>
    <numFmt numFmtId="165" formatCode="#,##0.00\ &quot;€&quot;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2" fillId="0" borderId="0" applyFont="0" applyFill="0" applyBorder="0" applyAlignment="0" applyProtection="0"/>
  </cellStyleXfs>
  <cellXfs count="58">
    <xf numFmtId="0" fontId="0" fillId="0" borderId="0" xfId="0"/>
    <xf numFmtId="0" fontId="0" fillId="2" borderId="2" xfId="0" applyFill="1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Alignment="1">
      <alignment horizontal="left" indent="1"/>
    </xf>
    <xf numFmtId="0" fontId="2" fillId="0" borderId="0" xfId="0" applyFont="1" applyFill="1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0" fillId="2" borderId="3" xfId="0" applyFill="1" applyBorder="1" applyAlignment="1">
      <alignment horizontal="left"/>
    </xf>
    <xf numFmtId="164" fontId="0" fillId="0" borderId="9" xfId="0" applyNumberFormat="1" applyBorder="1"/>
    <xf numFmtId="164" fontId="0" fillId="0" borderId="10" xfId="0" applyNumberFormat="1" applyBorder="1"/>
    <xf numFmtId="0" fontId="0" fillId="0" borderId="0" xfId="0" applyBorder="1" applyAlignment="1"/>
    <xf numFmtId="164" fontId="0" fillId="0" borderId="1" xfId="0" applyNumberFormat="1" applyBorder="1"/>
    <xf numFmtId="0" fontId="4" fillId="0" borderId="0" xfId="0" applyFont="1"/>
    <xf numFmtId="164" fontId="4" fillId="0" borderId="0" xfId="0" applyNumberFormat="1" applyFont="1"/>
    <xf numFmtId="0" fontId="5" fillId="0" borderId="0" xfId="0" applyFont="1" applyAlignment="1"/>
    <xf numFmtId="0" fontId="0" fillId="0" borderId="0" xfId="0"/>
    <xf numFmtId="0" fontId="8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/>
    </xf>
    <xf numFmtId="165" fontId="7" fillId="0" borderId="1" xfId="0" applyNumberFormat="1" applyFont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0" fillId="0" borderId="1" xfId="0" applyBorder="1"/>
    <xf numFmtId="44" fontId="0" fillId="0" borderId="1" xfId="1" applyFont="1" applyBorder="1"/>
    <xf numFmtId="0" fontId="0" fillId="0" borderId="0" xfId="0" applyBorder="1" applyAlignment="1">
      <alignment horizontal="left"/>
    </xf>
    <xf numFmtId="0" fontId="3" fillId="3" borderId="2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righ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17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0" fillId="0" borderId="16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14" fontId="0" fillId="0" borderId="16" xfId="0" applyNumberFormat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1" fillId="0" borderId="15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2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2" xfId="0" applyNumberFormat="1" applyBorder="1" applyAlignment="1">
      <alignment horizontal="left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5" fillId="0" borderId="0" xfId="0" applyFont="1" applyAlignment="1">
      <alignment horizontal="left"/>
    </xf>
  </cellXfs>
  <cellStyles count="2">
    <cellStyle name="Currency" xfId="1" builtinId="4"/>
    <cellStyle name="Normal" xfId="0" builtinId="0"/>
  </cellStyles>
  <dxfs count="1">
    <dxf>
      <font>
        <color theme="0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31" fmlaLink="$E$3" fmlaRange="ListaDinamicaB" noThreeD="1" sel="16" val="8"/>
</file>

<file path=xl/ctrlProps/ctrlProp2.xml><?xml version="1.0" encoding="utf-8"?>
<formControlPr xmlns="http://schemas.microsoft.com/office/spreadsheetml/2009/9/main" objectType="Drop" dropLines="7" dropStyle="combo" dx="31" fmlaLink="$B$3" fmlaRange="ListaDinamica" noThreeD="1" sel="1" val="0"/>
</file>

<file path=xl/ctrlProps/ctrlProp3.xml><?xml version="1.0" encoding="utf-8"?>
<formControlPr xmlns="http://schemas.microsoft.com/office/spreadsheetml/2009/9/main" objectType="CheckBox" fmlaLink="$B$4" lockText="1" noThreeD="1"/>
</file>

<file path=xl/ctrlProps/ctrlProp4.xml><?xml version="1.0" encoding="utf-8"?>
<formControlPr xmlns="http://schemas.microsoft.com/office/spreadsheetml/2009/9/main" objectType="CheckBox" checked="Checked" fmlaLink="$B$5" lockText="1" noThreeD="1"/>
</file>

<file path=xl/ctrlProps/ctrlProp5.xml><?xml version="1.0" encoding="utf-8"?>
<formControlPr xmlns="http://schemas.microsoft.com/office/spreadsheetml/2009/9/main" objectType="Radio" firstButton="1" fmlaLink="$G$4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checked="Checked" firstButton="1" fmlaLink="$G$11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CheckBox" checked="Checked" fmlaLink="$F$2" lockText="1" noThreeD="1"/>
</file>

<file path=xl/ctrlProps/ctrlProp12.xml><?xml version="1.0" encoding="utf-8"?>
<formControlPr xmlns="http://schemas.microsoft.com/office/spreadsheetml/2009/9/main" objectType="CheckBox" checked="Checked" fmlaLink="$F$3" lockText="1" noThreeD="1"/>
</file>

<file path=xl/ctrlProps/ctrlProp13.xml><?xml version="1.0" encoding="utf-8"?>
<formControlPr xmlns="http://schemas.microsoft.com/office/spreadsheetml/2009/9/main" objectType="CheckBox" checked="Checked" fmlaLink="$F$4" lockText="1" noThreeD="1"/>
</file>

<file path=xl/ctrlProps/ctrlProp14.xml><?xml version="1.0" encoding="utf-8"?>
<formControlPr xmlns="http://schemas.microsoft.com/office/spreadsheetml/2009/9/main" objectType="CheckBox" fmlaLink="$F$5" lockText="1" noThreeD="1"/>
</file>

<file path=xl/ctrlProps/ctrlProp15.xml><?xml version="1.0" encoding="utf-8"?>
<formControlPr xmlns="http://schemas.microsoft.com/office/spreadsheetml/2009/9/main" objectType="CheckBox" checked="Checked" fmlaLink="$F$6" lockText="1" noThreeD="1"/>
</file>

<file path=xl/ctrlProps/ctrlProp16.xml><?xml version="1.0" encoding="utf-8"?>
<formControlPr xmlns="http://schemas.microsoft.com/office/spreadsheetml/2009/9/main" objectType="CheckBox" fmlaLink="$F$7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fmlaLink="$G$9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checked="Checked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CheckBox" checked="Checked" fmlaLink="$G$25" lockText="1" noThreeD="1"/>
</file>

<file path=xl/ctrlProps/ctrlProp25.xml><?xml version="1.0" encoding="utf-8"?>
<formControlPr xmlns="http://schemas.microsoft.com/office/spreadsheetml/2009/9/main" objectType="CheckBox" checked="Checked" fmlaLink="$G$27" lockText="1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Radio" checked="Checked" firstButton="1" fmlaLink="$G$33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Radio" firstButton="1" fmlaLink="$G$41" lockText="1" noThreeD="1"/>
</file>

<file path=xl/ctrlProps/ctrlProp31.xml><?xml version="1.0" encoding="utf-8"?>
<formControlPr xmlns="http://schemas.microsoft.com/office/spreadsheetml/2009/9/main" objectType="Radio" checked="Checked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Radio" firstButton="1" fmlaLink="$G$55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Radio" firstButton="1" fmlaLink="$G$63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Scroll" dx="31" fmlaLink="$I$1" max="8" min="1" page="2" val="3"/>
</file>

<file path=xl/ctrlProps/ctrlProp42.xml><?xml version="1.0" encoding="utf-8"?>
<formControlPr xmlns="http://schemas.microsoft.com/office/spreadsheetml/2009/9/main" objectType="Spin" dx="31" fmlaLink="$B$5" max="65" min="18" page="10" val="24"/>
</file>

<file path=xl/ctrlProps/ctrlProp43.xml><?xml version="1.0" encoding="utf-8"?>
<formControlPr xmlns="http://schemas.microsoft.com/office/spreadsheetml/2009/9/main" objectType="List" dx="31" fmlaLink="$F$2" fmlaRange="ListaProdutos" noThreeD="1" sel="1" val="0"/>
</file>

<file path=xl/ctrlProps/ctrlProp44.xml><?xml version="1.0" encoding="utf-8"?>
<formControlPr xmlns="http://schemas.microsoft.com/office/spreadsheetml/2009/9/main" objectType="List" dx="31" fmlaLink="$G$5" fmlaRange="Nomes" noThreeD="1" sel="13" val="7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603250</xdr:colOff>
          <xdr:row>2</xdr:row>
          <xdr:rowOff>0</xdr:rowOff>
        </xdr:from>
        <xdr:to>
          <xdr:col>5</xdr:col>
          <xdr:colOff>19050</xdr:colOff>
          <xdr:row>3</xdr:row>
          <xdr:rowOff>25400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171450</xdr:rowOff>
        </xdr:from>
        <xdr:to>
          <xdr:col>2</xdr:col>
          <xdr:colOff>0</xdr:colOff>
          <xdr:row>3</xdr:row>
          <xdr:rowOff>38100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276225</xdr:colOff>
      <xdr:row>1</xdr:row>
      <xdr:rowOff>57150</xdr:rowOff>
    </xdr:from>
    <xdr:to>
      <xdr:col>6</xdr:col>
      <xdr:colOff>273050</xdr:colOff>
      <xdr:row>3</xdr:row>
      <xdr:rowOff>161925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324225" y="238125"/>
          <a:ext cx="606425" cy="4667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100"/>
            <a:t>Combo Box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2</xdr:row>
          <xdr:rowOff>133350</xdr:rowOff>
        </xdr:from>
        <xdr:to>
          <xdr:col>1</xdr:col>
          <xdr:colOff>0</xdr:colOff>
          <xdr:row>4</xdr:row>
          <xdr:rowOff>95250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</xdr:colOff>
          <xdr:row>3</xdr:row>
          <xdr:rowOff>133350</xdr:rowOff>
        </xdr:from>
        <xdr:to>
          <xdr:col>1</xdr:col>
          <xdr:colOff>0</xdr:colOff>
          <xdr:row>5</xdr:row>
          <xdr:rowOff>95250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3</xdr:row>
          <xdr:rowOff>12700</xdr:rowOff>
        </xdr:from>
        <xdr:to>
          <xdr:col>6</xdr:col>
          <xdr:colOff>127000</xdr:colOff>
          <xdr:row>4</xdr:row>
          <xdr:rowOff>44450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4</xdr:row>
          <xdr:rowOff>19050</xdr:rowOff>
        </xdr:from>
        <xdr:to>
          <xdr:col>6</xdr:col>
          <xdr:colOff>120650</xdr:colOff>
          <xdr:row>5</xdr:row>
          <xdr:rowOff>57150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596900</xdr:colOff>
      <xdr:row>3</xdr:row>
      <xdr:rowOff>12699</xdr:rowOff>
    </xdr:from>
    <xdr:to>
      <xdr:col>2</xdr:col>
      <xdr:colOff>600075</xdr:colOff>
      <xdr:row>5</xdr:row>
      <xdr:rowOff>117474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330325" y="612774"/>
          <a:ext cx="612775" cy="4667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100"/>
            <a:t>Check Box</a:t>
          </a:r>
        </a:p>
      </xdr:txBody>
    </xdr:sp>
    <xdr:clientData/>
  </xdr:twoCellAnchor>
  <xdr:twoCellAnchor>
    <xdr:from>
      <xdr:col>7</xdr:col>
      <xdr:colOff>9525</xdr:colOff>
      <xdr:row>3</xdr:row>
      <xdr:rowOff>0</xdr:rowOff>
    </xdr:from>
    <xdr:to>
      <xdr:col>8</xdr:col>
      <xdr:colOff>6350</xdr:colOff>
      <xdr:row>5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400550" y="600075"/>
          <a:ext cx="606425" cy="4667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100"/>
            <a:t>Option Button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8</xdr:row>
          <xdr:rowOff>114300</xdr:rowOff>
        </xdr:from>
        <xdr:to>
          <xdr:col>9</xdr:col>
          <xdr:colOff>38100</xdr:colOff>
          <xdr:row>15</xdr:row>
          <xdr:rowOff>171450</xdr:rowOff>
        </xdr:to>
        <xdr:sp macro="" textlink="">
          <xdr:nvSpPr>
            <xdr:cNvPr id="3078" name="Group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É seu primeiro curso de Macros e VBA?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9</xdr:row>
          <xdr:rowOff>171450</xdr:rowOff>
        </xdr:from>
        <xdr:to>
          <xdr:col>6</xdr:col>
          <xdr:colOff>304800</xdr:colOff>
          <xdr:row>11</xdr:row>
          <xdr:rowOff>31750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11</xdr:row>
          <xdr:rowOff>6350</xdr:rowOff>
        </xdr:from>
        <xdr:to>
          <xdr:col>6</xdr:col>
          <xdr:colOff>304800</xdr:colOff>
          <xdr:row>12</xdr:row>
          <xdr:rowOff>50800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177800</xdr:colOff>
      <xdr:row>9</xdr:row>
      <xdr:rowOff>76200</xdr:rowOff>
    </xdr:from>
    <xdr:to>
      <xdr:col>10</xdr:col>
      <xdr:colOff>187325</xdr:colOff>
      <xdr:row>12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788025" y="1762125"/>
          <a:ext cx="619125" cy="4667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100"/>
            <a:t>Group Box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10</xdr:row>
          <xdr:rowOff>0</xdr:rowOff>
        </xdr:from>
        <xdr:to>
          <xdr:col>4</xdr:col>
          <xdr:colOff>704850</xdr:colOff>
          <xdr:row>23</xdr:row>
          <xdr:rowOff>0</xdr:rowOff>
        </xdr:to>
        <xdr:sp macro="" textlink="">
          <xdr:nvSpPr>
            <xdr:cNvPr id="4100" name="Group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Selecione os produtos desejados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11</xdr:row>
          <xdr:rowOff>152400</xdr:rowOff>
        </xdr:from>
        <xdr:to>
          <xdr:col>4</xdr:col>
          <xdr:colOff>6350</xdr:colOff>
          <xdr:row>12</xdr:row>
          <xdr:rowOff>152400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Chocolate amargo com pedaços de toffee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13</xdr:row>
          <xdr:rowOff>152400</xdr:rowOff>
        </xdr:from>
        <xdr:to>
          <xdr:col>4</xdr:col>
          <xdr:colOff>6350</xdr:colOff>
          <xdr:row>15</xdr:row>
          <xdr:rowOff>12700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Chocolate amargo com amêndoa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15</xdr:row>
          <xdr:rowOff>152400</xdr:rowOff>
        </xdr:from>
        <xdr:to>
          <xdr:col>3</xdr:col>
          <xdr:colOff>6350</xdr:colOff>
          <xdr:row>17</xdr:row>
          <xdr:rowOff>12700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Chocolate branco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17</xdr:row>
          <xdr:rowOff>152400</xdr:rowOff>
        </xdr:from>
        <xdr:to>
          <xdr:col>4</xdr:col>
          <xdr:colOff>6350</xdr:colOff>
          <xdr:row>19</xdr:row>
          <xdr:rowOff>12700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Chocolate de leite com sal marinho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19</xdr:row>
          <xdr:rowOff>152400</xdr:rowOff>
        </xdr:from>
        <xdr:to>
          <xdr:col>4</xdr:col>
          <xdr:colOff>6350</xdr:colOff>
          <xdr:row>21</xdr:row>
          <xdr:rowOff>12700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Chocolate de leite com frutas e nozes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12700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Frete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Estado Civil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95250</xdr:rowOff>
        </xdr:from>
        <xdr:to>
          <xdr:col>2</xdr:col>
          <xdr:colOff>0</xdr:colOff>
          <xdr:row>10</xdr:row>
          <xdr:rowOff>133350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Solteir(a)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82550</xdr:rowOff>
        </xdr:from>
        <xdr:to>
          <xdr:col>2</xdr:col>
          <xdr:colOff>0</xdr:colOff>
          <xdr:row>12</xdr:row>
          <xdr:rowOff>120650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Casado(a)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69850</xdr:rowOff>
        </xdr:from>
        <xdr:to>
          <xdr:col>2</xdr:col>
          <xdr:colOff>0</xdr:colOff>
          <xdr:row>14</xdr:row>
          <xdr:rowOff>101600</xdr:rowOff>
        </xdr:to>
        <xdr:sp macro="" textlink="">
          <xdr:nvSpPr>
            <xdr:cNvPr id="5124" name="Option 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Separado(a)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57150</xdr:rowOff>
        </xdr:from>
        <xdr:to>
          <xdr:col>2</xdr:col>
          <xdr:colOff>0</xdr:colOff>
          <xdr:row>16</xdr:row>
          <xdr:rowOff>95250</xdr:rowOff>
        </xdr:to>
        <xdr:sp macro="" textlink="">
          <xdr:nvSpPr>
            <xdr:cNvPr id="5125" name="Option 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Divorciado(a)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50800</xdr:rowOff>
        </xdr:from>
        <xdr:to>
          <xdr:col>2</xdr:col>
          <xdr:colOff>0</xdr:colOff>
          <xdr:row>18</xdr:row>
          <xdr:rowOff>88900</xdr:rowOff>
        </xdr:to>
        <xdr:sp macro="" textlink="">
          <xdr:nvSpPr>
            <xdr:cNvPr id="5127" name="Option 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Viúvo(a)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44450</xdr:rowOff>
        </xdr:from>
        <xdr:to>
          <xdr:col>4</xdr:col>
          <xdr:colOff>0</xdr:colOff>
          <xdr:row>28</xdr:row>
          <xdr:rowOff>12700</xdr:rowOff>
        </xdr:to>
        <xdr:sp macro="" textlink="">
          <xdr:nvSpPr>
            <xdr:cNvPr id="5128" name="Group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Nacionalidade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23</xdr:row>
          <xdr:rowOff>152400</xdr:rowOff>
        </xdr:from>
        <xdr:to>
          <xdr:col>1</xdr:col>
          <xdr:colOff>514350</xdr:colOff>
          <xdr:row>25</xdr:row>
          <xdr:rowOff>6350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Portuguesa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25</xdr:row>
          <xdr:rowOff>114300</xdr:rowOff>
        </xdr:from>
        <xdr:to>
          <xdr:col>1</xdr:col>
          <xdr:colOff>514350</xdr:colOff>
          <xdr:row>26</xdr:row>
          <xdr:rowOff>152400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Estrangeira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57150</xdr:rowOff>
        </xdr:from>
        <xdr:to>
          <xdr:col>4</xdr:col>
          <xdr:colOff>0</xdr:colOff>
          <xdr:row>36</xdr:row>
          <xdr:rowOff>19050</xdr:rowOff>
        </xdr:to>
        <xdr:sp macro="" textlink="">
          <xdr:nvSpPr>
            <xdr:cNvPr id="5131" name="Group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Carta de Condução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31</xdr:row>
          <xdr:rowOff>146050</xdr:rowOff>
        </xdr:from>
        <xdr:to>
          <xdr:col>1</xdr:col>
          <xdr:colOff>304800</xdr:colOff>
          <xdr:row>33</xdr:row>
          <xdr:rowOff>0</xdr:rowOff>
        </xdr:to>
        <xdr:sp macro="" textlink="">
          <xdr:nvSpPr>
            <xdr:cNvPr id="5132" name="Option 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33</xdr:row>
          <xdr:rowOff>95250</xdr:rowOff>
        </xdr:from>
        <xdr:to>
          <xdr:col>1</xdr:col>
          <xdr:colOff>304800</xdr:colOff>
          <xdr:row>34</xdr:row>
          <xdr:rowOff>133350</xdr:rowOff>
        </xdr:to>
        <xdr:sp macro="" textlink="">
          <xdr:nvSpPr>
            <xdr:cNvPr id="5133" name="Option 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44450</xdr:rowOff>
        </xdr:from>
        <xdr:to>
          <xdr:col>4</xdr:col>
          <xdr:colOff>0</xdr:colOff>
          <xdr:row>50</xdr:row>
          <xdr:rowOff>44450</xdr:rowOff>
        </xdr:to>
        <xdr:sp macro="" textlink="">
          <xdr:nvSpPr>
            <xdr:cNvPr id="5134" name="Group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Situação Atual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40</xdr:row>
          <xdr:rowOff>0</xdr:rowOff>
        </xdr:from>
        <xdr:to>
          <xdr:col>1</xdr:col>
          <xdr:colOff>558800</xdr:colOff>
          <xdr:row>41</xdr:row>
          <xdr:rowOff>38100</xdr:rowOff>
        </xdr:to>
        <xdr:sp macro="" textlink="">
          <xdr:nvSpPr>
            <xdr:cNvPr id="5135" name="Option 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Estudante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41</xdr:row>
          <xdr:rowOff>152400</xdr:rowOff>
        </xdr:from>
        <xdr:to>
          <xdr:col>1</xdr:col>
          <xdr:colOff>565150</xdr:colOff>
          <xdr:row>43</xdr:row>
          <xdr:rowOff>12700</xdr:rowOff>
        </xdr:to>
        <xdr:sp macro="" textlink="">
          <xdr:nvSpPr>
            <xdr:cNvPr id="5136" name="Option 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Emprego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43</xdr:row>
          <xdr:rowOff>127000</xdr:rowOff>
        </xdr:from>
        <xdr:to>
          <xdr:col>1</xdr:col>
          <xdr:colOff>565150</xdr:colOff>
          <xdr:row>44</xdr:row>
          <xdr:rowOff>165100</xdr:rowOff>
        </xdr:to>
        <xdr:sp macro="" textlink="">
          <xdr:nvSpPr>
            <xdr:cNvPr id="5137" name="Option 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Emprego a prazo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45</xdr:row>
          <xdr:rowOff>95250</xdr:rowOff>
        </xdr:from>
        <xdr:to>
          <xdr:col>1</xdr:col>
          <xdr:colOff>565150</xdr:colOff>
          <xdr:row>46</xdr:row>
          <xdr:rowOff>133350</xdr:rowOff>
        </xdr:to>
        <xdr:sp macro="" textlink="">
          <xdr:nvSpPr>
            <xdr:cNvPr id="5138" name="Option 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Emprego Efetivo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47</xdr:row>
          <xdr:rowOff>63500</xdr:rowOff>
        </xdr:from>
        <xdr:to>
          <xdr:col>1</xdr:col>
          <xdr:colOff>558800</xdr:colOff>
          <xdr:row>48</xdr:row>
          <xdr:rowOff>101600</xdr:rowOff>
        </xdr:to>
        <xdr:sp macro="" textlink="">
          <xdr:nvSpPr>
            <xdr:cNvPr id="5139" name="Option 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Desempregado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57150</xdr:rowOff>
        </xdr:from>
        <xdr:to>
          <xdr:col>4</xdr:col>
          <xdr:colOff>603250</xdr:colOff>
          <xdr:row>58</xdr:row>
          <xdr:rowOff>19050</xdr:rowOff>
        </xdr:to>
        <xdr:sp macro="" textlink="">
          <xdr:nvSpPr>
            <xdr:cNvPr id="5140" name="Group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Disponibilidade para trabalhar em regime de turnos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53</xdr:row>
          <xdr:rowOff>165100</xdr:rowOff>
        </xdr:from>
        <xdr:to>
          <xdr:col>1</xdr:col>
          <xdr:colOff>311150</xdr:colOff>
          <xdr:row>55</xdr:row>
          <xdr:rowOff>19050</xdr:rowOff>
        </xdr:to>
        <xdr:sp macro="" textlink="">
          <xdr:nvSpPr>
            <xdr:cNvPr id="5141" name="Option 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55</xdr:row>
          <xdr:rowOff>88900</xdr:rowOff>
        </xdr:from>
        <xdr:to>
          <xdr:col>1</xdr:col>
          <xdr:colOff>311150</xdr:colOff>
          <xdr:row>56</xdr:row>
          <xdr:rowOff>127000</xdr:rowOff>
        </xdr:to>
        <xdr:sp macro="" textlink="">
          <xdr:nvSpPr>
            <xdr:cNvPr id="5142" name="Option 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57150</xdr:rowOff>
        </xdr:from>
        <xdr:to>
          <xdr:col>4</xdr:col>
          <xdr:colOff>596900</xdr:colOff>
          <xdr:row>66</xdr:row>
          <xdr:rowOff>19050</xdr:rowOff>
        </xdr:to>
        <xdr:sp macro="" textlink="">
          <xdr:nvSpPr>
            <xdr:cNvPr id="5143" name="Group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Tem experiência de trabalho na área a que se candidata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62</xdr:row>
          <xdr:rowOff>6350</xdr:rowOff>
        </xdr:from>
        <xdr:to>
          <xdr:col>1</xdr:col>
          <xdr:colOff>336550</xdr:colOff>
          <xdr:row>63</xdr:row>
          <xdr:rowOff>44450</xdr:rowOff>
        </xdr:to>
        <xdr:sp macro="" textlink="">
          <xdr:nvSpPr>
            <xdr:cNvPr id="5144" name="Option 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63</xdr:row>
          <xdr:rowOff>95250</xdr:rowOff>
        </xdr:from>
        <xdr:to>
          <xdr:col>1</xdr:col>
          <xdr:colOff>336550</xdr:colOff>
          <xdr:row>64</xdr:row>
          <xdr:rowOff>133350</xdr:rowOff>
        </xdr:to>
        <xdr:sp macro="" textlink="">
          <xdr:nvSpPr>
            <xdr:cNvPr id="5145" name="Option 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4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t-P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0</xdr:row>
          <xdr:rowOff>6350</xdr:rowOff>
        </xdr:from>
        <xdr:to>
          <xdr:col>7</xdr:col>
          <xdr:colOff>228600</xdr:colOff>
          <xdr:row>9</xdr:row>
          <xdr:rowOff>12700</xdr:rowOff>
        </xdr:to>
        <xdr:sp macro="" textlink="">
          <xdr:nvSpPr>
            <xdr:cNvPr id="7170" name="Scroll Bar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161925</xdr:colOff>
      <xdr:row>3</xdr:row>
      <xdr:rowOff>57150</xdr:rowOff>
    </xdr:from>
    <xdr:to>
      <xdr:col>11</xdr:col>
      <xdr:colOff>168275</xdr:colOff>
      <xdr:row>5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6600825" y="657225"/>
          <a:ext cx="615950" cy="4667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100"/>
            <a:t>Scroll Bar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4</xdr:row>
          <xdr:rowOff>0</xdr:rowOff>
        </xdr:from>
        <xdr:to>
          <xdr:col>2</xdr:col>
          <xdr:colOff>273050</xdr:colOff>
          <xdr:row>5</xdr:row>
          <xdr:rowOff>6350</xdr:rowOff>
        </xdr:to>
        <xdr:sp macro="" textlink="">
          <xdr:nvSpPr>
            <xdr:cNvPr id="8193" name="Spinne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542925</xdr:colOff>
      <xdr:row>3</xdr:row>
      <xdr:rowOff>171450</xdr:rowOff>
    </xdr:from>
    <xdr:to>
      <xdr:col>3</xdr:col>
      <xdr:colOff>552450</xdr:colOff>
      <xdr:row>5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762125" y="714375"/>
          <a:ext cx="619125" cy="4667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100"/>
            <a:t>Spin Button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1</xdr:row>
          <xdr:rowOff>6350</xdr:rowOff>
        </xdr:from>
        <xdr:to>
          <xdr:col>3</xdr:col>
          <xdr:colOff>342900</xdr:colOff>
          <xdr:row>5</xdr:row>
          <xdr:rowOff>133350</xdr:rowOff>
        </xdr:to>
        <xdr:sp macro="" textlink="">
          <xdr:nvSpPr>
            <xdr:cNvPr id="9217" name="List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514350</xdr:colOff>
      <xdr:row>1</xdr:row>
      <xdr:rowOff>161925</xdr:rowOff>
    </xdr:from>
    <xdr:to>
      <xdr:col>4</xdr:col>
      <xdr:colOff>523875</xdr:colOff>
      <xdr:row>4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2343150" y="342900"/>
          <a:ext cx="619125" cy="46672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100"/>
            <a:t>List</a:t>
          </a:r>
        </a:p>
        <a:p>
          <a:pPr algn="ctr"/>
          <a:r>
            <a:rPr lang="pt-PT" sz="1100"/>
            <a:t>Box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603250</xdr:colOff>
          <xdr:row>5</xdr:row>
          <xdr:rowOff>19050</xdr:rowOff>
        </xdr:from>
        <xdr:to>
          <xdr:col>5</xdr:col>
          <xdr:colOff>723900</xdr:colOff>
          <xdr:row>9</xdr:row>
          <xdr:rowOff>171450</xdr:rowOff>
        </xdr:to>
        <xdr:sp macro="" textlink="">
          <xdr:nvSpPr>
            <xdr:cNvPr id="11265" name="List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26" Type="http://schemas.openxmlformats.org/officeDocument/2006/relationships/ctrlProp" Target="../ctrlProps/ctrlProp3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4.x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5" Type="http://schemas.openxmlformats.org/officeDocument/2006/relationships/ctrlProp" Target="../ctrlProps/ctrlProp3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24" Type="http://schemas.openxmlformats.org/officeDocument/2006/relationships/ctrlProp" Target="../ctrlProps/ctrlProp37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23" Type="http://schemas.openxmlformats.org/officeDocument/2006/relationships/ctrlProp" Target="../ctrlProps/ctrlProp36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Relationship Id="rId22" Type="http://schemas.openxmlformats.org/officeDocument/2006/relationships/ctrlProp" Target="../ctrlProps/ctrlProp35.xml"/><Relationship Id="rId27" Type="http://schemas.openxmlformats.org/officeDocument/2006/relationships/ctrlProp" Target="../ctrlProps/ctrlProp4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BE099-2B95-41F2-98DA-D3C6D12FA15F}">
  <dimension ref="A1:F12"/>
  <sheetViews>
    <sheetView showGridLines="0" workbookViewId="0">
      <selection activeCell="M35" sqref="M35"/>
    </sheetView>
  </sheetViews>
  <sheetFormatPr defaultRowHeight="14.5" x14ac:dyDescent="0.35"/>
  <sheetData>
    <row r="1" spans="1:6" x14ac:dyDescent="0.35">
      <c r="A1" s="2"/>
      <c r="B1" s="2"/>
      <c r="C1" s="2"/>
      <c r="D1" s="2"/>
      <c r="E1" s="2"/>
      <c r="F1" s="2"/>
    </row>
    <row r="2" spans="1:6" x14ac:dyDescent="0.35">
      <c r="A2" s="30" t="s">
        <v>1</v>
      </c>
      <c r="B2" s="30"/>
      <c r="C2" s="2"/>
      <c r="D2" s="30" t="s">
        <v>2</v>
      </c>
      <c r="E2" s="30"/>
      <c r="F2" s="2"/>
    </row>
    <row r="3" spans="1:6" x14ac:dyDescent="0.35">
      <c r="A3" s="2"/>
      <c r="B3" s="2">
        <v>1</v>
      </c>
      <c r="C3" s="3" t="s">
        <v>0</v>
      </c>
      <c r="D3" s="2"/>
      <c r="E3" s="2">
        <v>16</v>
      </c>
      <c r="F3" s="2"/>
    </row>
    <row r="4" spans="1:6" x14ac:dyDescent="0.35">
      <c r="A4" s="2"/>
      <c r="B4" s="2"/>
      <c r="C4" s="2"/>
      <c r="D4" s="2"/>
      <c r="E4" s="2"/>
      <c r="F4" s="2"/>
    </row>
    <row r="5" spans="1:6" x14ac:dyDescent="0.35">
      <c r="A5" s="2"/>
      <c r="B5" s="2"/>
      <c r="C5" s="2"/>
      <c r="D5" s="2"/>
      <c r="E5" s="2"/>
      <c r="F5" s="2"/>
    </row>
    <row r="6" spans="1:6" x14ac:dyDescent="0.35">
      <c r="A6" s="1" t="s">
        <v>6</v>
      </c>
      <c r="B6" s="10">
        <f ca="1">SUM(INDIRECT("Dados1!A"&amp;B3),INDIRECT("Dados1!B"&amp;E3))</f>
        <v>38</v>
      </c>
      <c r="C6" s="2"/>
      <c r="D6" s="2"/>
      <c r="E6" s="2"/>
      <c r="F6" s="2"/>
    </row>
    <row r="7" spans="1:6" x14ac:dyDescent="0.35">
      <c r="A7" s="2"/>
      <c r="B7" s="2"/>
      <c r="C7" s="2"/>
      <c r="D7" s="2"/>
      <c r="E7" s="2"/>
      <c r="F7" s="2"/>
    </row>
    <row r="8" spans="1:6" x14ac:dyDescent="0.35">
      <c r="A8" s="2"/>
      <c r="B8" s="2"/>
      <c r="C8" s="2"/>
      <c r="D8" s="2"/>
      <c r="E8" s="2"/>
      <c r="F8" s="2"/>
    </row>
    <row r="9" spans="1:6" x14ac:dyDescent="0.35">
      <c r="A9" s="2"/>
      <c r="B9" s="2"/>
      <c r="C9" s="2"/>
      <c r="D9" s="2"/>
      <c r="E9" s="2"/>
      <c r="F9" s="2"/>
    </row>
    <row r="10" spans="1:6" x14ac:dyDescent="0.35">
      <c r="A10" s="2"/>
      <c r="B10" s="2"/>
      <c r="C10" s="2"/>
      <c r="D10" s="2"/>
      <c r="E10" s="2"/>
      <c r="F10" s="2"/>
    </row>
    <row r="11" spans="1:6" x14ac:dyDescent="0.35">
      <c r="A11" s="2"/>
      <c r="B11" s="2"/>
      <c r="C11" s="2"/>
      <c r="D11" s="2"/>
      <c r="E11" s="2"/>
      <c r="F11" s="2"/>
    </row>
    <row r="12" spans="1:6" x14ac:dyDescent="0.35">
      <c r="A12" s="2"/>
      <c r="B12" s="2"/>
      <c r="C12" s="2"/>
      <c r="D12" s="2"/>
      <c r="E12" s="2"/>
      <c r="F12" s="2"/>
    </row>
  </sheetData>
  <mergeCells count="2">
    <mergeCell ref="A2:B2"/>
    <mergeCell ref="D2:E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Drop Down 2">
              <controlPr defaultSize="0" autoLine="0" autoPict="0">
                <anchor>
                  <from>
                    <xdr:col>2</xdr:col>
                    <xdr:colOff>603250</xdr:colOff>
                    <xdr:row>2</xdr:row>
                    <xdr:rowOff>0</xdr:rowOff>
                  </from>
                  <to>
                    <xdr:col>5</xdr:col>
                    <xdr:colOff>19050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>
                <anchor>
                  <from>
                    <xdr:col>0</xdr:col>
                    <xdr:colOff>12700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F1F9-F3F0-4795-9978-95E9014543B7}">
  <dimension ref="A1:B16"/>
  <sheetViews>
    <sheetView workbookViewId="0">
      <selection activeCell="D16" sqref="D16"/>
    </sheetView>
  </sheetViews>
  <sheetFormatPr defaultRowHeight="14.5" x14ac:dyDescent="0.35"/>
  <sheetData>
    <row r="1" spans="1:2" x14ac:dyDescent="0.35">
      <c r="A1">
        <v>25</v>
      </c>
      <c r="B1">
        <v>123</v>
      </c>
    </row>
    <row r="2" spans="1:2" x14ac:dyDescent="0.35">
      <c r="A2">
        <v>21</v>
      </c>
      <c r="B2">
        <v>44</v>
      </c>
    </row>
    <row r="3" spans="1:2" x14ac:dyDescent="0.35">
      <c r="A3">
        <v>36</v>
      </c>
      <c r="B3">
        <v>33</v>
      </c>
    </row>
    <row r="4" spans="1:2" x14ac:dyDescent="0.35">
      <c r="A4">
        <v>90</v>
      </c>
      <c r="B4">
        <v>27</v>
      </c>
    </row>
    <row r="5" spans="1:2" x14ac:dyDescent="0.35">
      <c r="A5">
        <v>55</v>
      </c>
      <c r="B5">
        <v>68</v>
      </c>
    </row>
    <row r="6" spans="1:2" x14ac:dyDescent="0.35">
      <c r="A6">
        <v>20</v>
      </c>
      <c r="B6">
        <v>95</v>
      </c>
    </row>
    <row r="7" spans="1:2" x14ac:dyDescent="0.35">
      <c r="A7">
        <v>200</v>
      </c>
      <c r="B7">
        <v>7</v>
      </c>
    </row>
    <row r="8" spans="1:2" x14ac:dyDescent="0.35">
      <c r="A8">
        <v>5</v>
      </c>
      <c r="B8">
        <v>45</v>
      </c>
    </row>
    <row r="9" spans="1:2" x14ac:dyDescent="0.35">
      <c r="A9">
        <v>5</v>
      </c>
      <c r="B9">
        <v>32</v>
      </c>
    </row>
    <row r="10" spans="1:2" x14ac:dyDescent="0.35">
      <c r="A10">
        <v>5</v>
      </c>
      <c r="B10">
        <v>11</v>
      </c>
    </row>
    <row r="11" spans="1:2" x14ac:dyDescent="0.35">
      <c r="A11">
        <v>4</v>
      </c>
      <c r="B11">
        <v>9</v>
      </c>
    </row>
    <row r="12" spans="1:2" x14ac:dyDescent="0.35">
      <c r="A12">
        <v>4</v>
      </c>
      <c r="B12">
        <v>0</v>
      </c>
    </row>
    <row r="13" spans="1:2" x14ac:dyDescent="0.35">
      <c r="A13">
        <v>32</v>
      </c>
      <c r="B13">
        <v>45</v>
      </c>
    </row>
    <row r="14" spans="1:2" x14ac:dyDescent="0.35">
      <c r="A14">
        <v>44</v>
      </c>
      <c r="B14">
        <v>66</v>
      </c>
    </row>
    <row r="15" spans="1:2" x14ac:dyDescent="0.35">
      <c r="A15">
        <v>321</v>
      </c>
      <c r="B15">
        <v>5</v>
      </c>
    </row>
    <row r="16" spans="1:2" x14ac:dyDescent="0.35">
      <c r="A16">
        <v>22</v>
      </c>
      <c r="B16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2376C-C82C-48FE-85D8-BB9A6C1CE4F0}">
  <dimension ref="A1:J14"/>
  <sheetViews>
    <sheetView showGridLines="0" workbookViewId="0">
      <selection activeCell="N25" sqref="N25"/>
    </sheetView>
  </sheetViews>
  <sheetFormatPr defaultRowHeight="14.5" x14ac:dyDescent="0.35"/>
  <cols>
    <col min="1" max="1" width="10.453125" customWidth="1"/>
  </cols>
  <sheetData>
    <row r="1" spans="1:10" ht="18.5" x14ac:dyDescent="0.45">
      <c r="A1" s="7" t="s">
        <v>3</v>
      </c>
      <c r="I1" s="2"/>
      <c r="J1" s="2"/>
    </row>
    <row r="2" spans="1:10" x14ac:dyDescent="0.35">
      <c r="I2" s="2"/>
      <c r="J2" s="2"/>
    </row>
    <row r="3" spans="1:10" x14ac:dyDescent="0.35">
      <c r="A3" s="4" t="s">
        <v>4</v>
      </c>
      <c r="F3" s="8" t="s">
        <v>4</v>
      </c>
      <c r="I3" s="2"/>
      <c r="J3" s="2"/>
    </row>
    <row r="4" spans="1:10" x14ac:dyDescent="0.35">
      <c r="B4" s="5" t="b">
        <v>0</v>
      </c>
      <c r="G4" s="9">
        <v>2</v>
      </c>
      <c r="I4" s="2"/>
      <c r="J4" s="2"/>
    </row>
    <row r="5" spans="1:10" x14ac:dyDescent="0.35">
      <c r="B5" s="5" t="b">
        <v>1</v>
      </c>
      <c r="I5" s="2"/>
      <c r="J5" s="2"/>
    </row>
    <row r="6" spans="1:10" x14ac:dyDescent="0.35">
      <c r="I6" s="2"/>
      <c r="J6" s="2"/>
    </row>
    <row r="7" spans="1:10" x14ac:dyDescent="0.35">
      <c r="A7" s="4" t="str">
        <f>IF(B5=TRUE,"O que poderia melhorar?","")</f>
        <v>O que poderia melhorar?</v>
      </c>
      <c r="F7" s="6" t="str">
        <f>IF(G4=2,"O que poderia melhorar?","")</f>
        <v>O que poderia melhorar?</v>
      </c>
      <c r="I7" s="2"/>
      <c r="J7" s="2"/>
    </row>
    <row r="8" spans="1:10" x14ac:dyDescent="0.35">
      <c r="I8" s="2"/>
      <c r="J8" s="2"/>
    </row>
    <row r="9" spans="1:10" x14ac:dyDescent="0.35">
      <c r="I9" s="2"/>
      <c r="J9" s="2"/>
    </row>
    <row r="10" spans="1:10" x14ac:dyDescent="0.35">
      <c r="F10" s="6"/>
      <c r="I10" s="2"/>
      <c r="J10" s="2"/>
    </row>
    <row r="11" spans="1:10" x14ac:dyDescent="0.35">
      <c r="G11" s="9">
        <v>1</v>
      </c>
      <c r="I11" s="2"/>
      <c r="J11" s="2"/>
    </row>
    <row r="12" spans="1:10" x14ac:dyDescent="0.35">
      <c r="I12" s="2"/>
      <c r="J12" s="2"/>
    </row>
    <row r="13" spans="1:10" x14ac:dyDescent="0.35">
      <c r="I13" s="2"/>
      <c r="J13" s="2"/>
    </row>
    <row r="14" spans="1:10" x14ac:dyDescent="0.35">
      <c r="I14" s="2"/>
      <c r="J14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>
                  <from>
                    <xdr:col>0</xdr:col>
                    <xdr:colOff>171450</xdr:colOff>
                    <xdr:row>2</xdr:row>
                    <xdr:rowOff>133350</xdr:rowOff>
                  </from>
                  <to>
                    <xdr:col>1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>
                  <from>
                    <xdr:col>0</xdr:col>
                    <xdr:colOff>171450</xdr:colOff>
                    <xdr:row>3</xdr:row>
                    <xdr:rowOff>133350</xdr:rowOff>
                  </from>
                  <to>
                    <xdr:col>1</xdr:col>
                    <xdr:colOff>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Option Button 3">
              <controlPr defaultSize="0" autoFill="0" autoLine="0" autoPict="0">
                <anchor>
                  <from>
                    <xdr:col>5</xdr:col>
                    <xdr:colOff>76200</xdr:colOff>
                    <xdr:row>3</xdr:row>
                    <xdr:rowOff>12700</xdr:rowOff>
                  </from>
                  <to>
                    <xdr:col>6</xdr:col>
                    <xdr:colOff>127000</xdr:colOff>
                    <xdr:row>4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Option Button 4">
              <controlPr defaultSize="0" autoFill="0" autoLine="0" autoPict="0">
                <anchor>
                  <from>
                    <xdr:col>5</xdr:col>
                    <xdr:colOff>76200</xdr:colOff>
                    <xdr:row>4</xdr:row>
                    <xdr:rowOff>19050</xdr:rowOff>
                  </from>
                  <to>
                    <xdr:col>6</xdr:col>
                    <xdr:colOff>120650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Group Box 6">
              <controlPr defaultSize="0" autoFill="0" autoPict="0">
                <anchor moveWithCells="1">
                  <from>
                    <xdr:col>4</xdr:col>
                    <xdr:colOff>552450</xdr:colOff>
                    <xdr:row>8</xdr:row>
                    <xdr:rowOff>114300</xdr:rowOff>
                  </from>
                  <to>
                    <xdr:col>9</xdr:col>
                    <xdr:colOff>38100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Option Button 7">
              <controlPr defaultSize="0" autoFill="0" autoLine="0" autoPict="0">
                <anchor moveWithCells="1">
                  <from>
                    <xdr:col>5</xdr:col>
                    <xdr:colOff>203200</xdr:colOff>
                    <xdr:row>9</xdr:row>
                    <xdr:rowOff>171450</xdr:rowOff>
                  </from>
                  <to>
                    <xdr:col>6</xdr:col>
                    <xdr:colOff>304800</xdr:colOff>
                    <xdr:row>11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Option Button 8">
              <controlPr defaultSize="0" autoFill="0" autoLine="0" autoPict="0">
                <anchor moveWithCells="1">
                  <from>
                    <xdr:col>5</xdr:col>
                    <xdr:colOff>203200</xdr:colOff>
                    <xdr:row>11</xdr:row>
                    <xdr:rowOff>6350</xdr:rowOff>
                  </from>
                  <to>
                    <xdr:col>6</xdr:col>
                    <xdr:colOff>304800</xdr:colOff>
                    <xdr:row>12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075E1-45FF-4207-8570-D8B5F7A635B4}">
  <dimension ref="A1:F28"/>
  <sheetViews>
    <sheetView showGridLines="0" workbookViewId="0">
      <selection activeCell="H14" sqref="H14"/>
    </sheetView>
  </sheetViews>
  <sheetFormatPr defaultRowHeight="14.5" x14ac:dyDescent="0.35"/>
  <cols>
    <col min="4" max="4" width="9.7265625" customWidth="1"/>
    <col min="5" max="5" width="10.54296875" customWidth="1"/>
    <col min="6" max="6" width="8.7265625" hidden="1" customWidth="1"/>
  </cols>
  <sheetData>
    <row r="1" spans="1:6" ht="18.5" x14ac:dyDescent="0.45">
      <c r="A1" s="31" t="s">
        <v>5</v>
      </c>
      <c r="B1" s="32"/>
      <c r="C1" s="32"/>
      <c r="D1" s="32"/>
      <c r="E1" s="33"/>
      <c r="F1" s="13"/>
    </row>
    <row r="2" spans="1:6" x14ac:dyDescent="0.35">
      <c r="A2" s="36" t="s">
        <v>7</v>
      </c>
      <c r="B2" s="30"/>
      <c r="C2" s="30"/>
      <c r="D2" s="37"/>
      <c r="E2" s="11">
        <v>10</v>
      </c>
      <c r="F2" s="15" t="b">
        <v>1</v>
      </c>
    </row>
    <row r="3" spans="1:6" x14ac:dyDescent="0.35">
      <c r="A3" s="36" t="s">
        <v>8</v>
      </c>
      <c r="B3" s="30"/>
      <c r="C3" s="30"/>
      <c r="D3" s="37"/>
      <c r="E3" s="11">
        <v>11</v>
      </c>
      <c r="F3" s="15" t="b">
        <v>1</v>
      </c>
    </row>
    <row r="4" spans="1:6" x14ac:dyDescent="0.35">
      <c r="A4" s="36" t="s">
        <v>9</v>
      </c>
      <c r="B4" s="30"/>
      <c r="C4" s="30"/>
      <c r="D4" s="37"/>
      <c r="E4" s="11">
        <v>5.5</v>
      </c>
      <c r="F4" s="15" t="b">
        <v>1</v>
      </c>
    </row>
    <row r="5" spans="1:6" x14ac:dyDescent="0.35">
      <c r="A5" s="36" t="s">
        <v>10</v>
      </c>
      <c r="B5" s="30"/>
      <c r="C5" s="30"/>
      <c r="D5" s="37"/>
      <c r="E5" s="11">
        <v>12.5</v>
      </c>
      <c r="F5" s="16" t="b">
        <v>0</v>
      </c>
    </row>
    <row r="6" spans="1:6" x14ac:dyDescent="0.35">
      <c r="A6" s="36" t="s">
        <v>11</v>
      </c>
      <c r="B6" s="30"/>
      <c r="C6" s="30"/>
      <c r="D6" s="37"/>
      <c r="E6" s="11">
        <v>13.2</v>
      </c>
      <c r="F6" s="15" t="b">
        <v>1</v>
      </c>
    </row>
    <row r="7" spans="1:6" x14ac:dyDescent="0.35">
      <c r="A7" s="38" t="s">
        <v>12</v>
      </c>
      <c r="B7" s="39"/>
      <c r="C7" s="39"/>
      <c r="D7" s="40"/>
      <c r="E7" s="12">
        <v>4.5</v>
      </c>
      <c r="F7" s="15" t="b">
        <v>0</v>
      </c>
    </row>
    <row r="9" spans="1:6" ht="18.5" x14ac:dyDescent="0.45">
      <c r="A9" s="34" t="s">
        <v>13</v>
      </c>
      <c r="B9" s="34"/>
      <c r="C9" s="34"/>
    </row>
    <row r="28" spans="1:5" ht="18.5" x14ac:dyDescent="0.45">
      <c r="A28" s="35" t="s">
        <v>14</v>
      </c>
      <c r="B28" s="35"/>
      <c r="C28" s="35"/>
      <c r="D28" s="35"/>
      <c r="E28" s="14">
        <f>SUMIF(F2:F7,TRUE,E2:E7)</f>
        <v>39.700000000000003</v>
      </c>
    </row>
  </sheetData>
  <mergeCells count="9">
    <mergeCell ref="A1:E1"/>
    <mergeCell ref="A9:C9"/>
    <mergeCell ref="A28:D28"/>
    <mergeCell ref="A2:D2"/>
    <mergeCell ref="A3:D3"/>
    <mergeCell ref="A4:D4"/>
    <mergeCell ref="A5:D5"/>
    <mergeCell ref="A6:D6"/>
    <mergeCell ref="A7:D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Group Box 4">
              <controlPr defaultSize="0" autoFill="0" autoPict="0">
                <anchor moveWithCells="1">
                  <from>
                    <xdr:col>0</xdr:col>
                    <xdr:colOff>19050</xdr:colOff>
                    <xdr:row>10</xdr:row>
                    <xdr:rowOff>0</xdr:rowOff>
                  </from>
                  <to>
                    <xdr:col>4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Check Box 5">
              <controlPr defaultSize="0" autoFill="0" autoLine="0" autoPict="0">
                <anchor>
                  <from>
                    <xdr:col>0</xdr:col>
                    <xdr:colOff>0</xdr:colOff>
                    <xdr:row>11</xdr:row>
                    <xdr:rowOff>152400</xdr:rowOff>
                  </from>
                  <to>
                    <xdr:col>4</xdr:col>
                    <xdr:colOff>6350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Check Box 6">
              <controlPr defaultSize="0" autoFill="0" autoLine="0" autoPict="0">
                <anchor>
                  <from>
                    <xdr:col>0</xdr:col>
                    <xdr:colOff>0</xdr:colOff>
                    <xdr:row>13</xdr:row>
                    <xdr:rowOff>152400</xdr:rowOff>
                  </from>
                  <to>
                    <xdr:col>4</xdr:col>
                    <xdr:colOff>6350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Check Box 7">
              <controlPr defaultSize="0" autoFill="0" autoLine="0" autoPict="0">
                <anchor>
                  <from>
                    <xdr:col>0</xdr:col>
                    <xdr:colOff>0</xdr:colOff>
                    <xdr:row>15</xdr:row>
                    <xdr:rowOff>152400</xdr:rowOff>
                  </from>
                  <to>
                    <xdr:col>3</xdr:col>
                    <xdr:colOff>6350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Check Box 8">
              <controlPr defaultSize="0" autoFill="0" autoLine="0" autoPict="0">
                <anchor>
                  <from>
                    <xdr:col>0</xdr:col>
                    <xdr:colOff>0</xdr:colOff>
                    <xdr:row>17</xdr:row>
                    <xdr:rowOff>152400</xdr:rowOff>
                  </from>
                  <to>
                    <xdr:col>4</xdr:col>
                    <xdr:colOff>6350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Check Box 9">
              <controlPr defaultSize="0" autoFill="0" autoLine="0" autoPict="0">
                <anchor>
                  <from>
                    <xdr:col>0</xdr:col>
                    <xdr:colOff>0</xdr:colOff>
                    <xdr:row>19</xdr:row>
                    <xdr:rowOff>152400</xdr:rowOff>
                  </from>
                  <to>
                    <xdr:col>4</xdr:col>
                    <xdr:colOff>6350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Check Box 10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48D38-C775-4204-85B9-AD5139EE8A7A}">
  <dimension ref="A1:G77"/>
  <sheetViews>
    <sheetView showGridLines="0" workbookViewId="0">
      <selection activeCell="J8" sqref="J8"/>
    </sheetView>
  </sheetViews>
  <sheetFormatPr defaultRowHeight="14.5" x14ac:dyDescent="0.35"/>
  <cols>
    <col min="5" max="5" width="13" customWidth="1"/>
    <col min="7" max="7" width="0" hidden="1" customWidth="1"/>
  </cols>
  <sheetData>
    <row r="1" spans="1:7" ht="21" x14ac:dyDescent="0.5">
      <c r="A1" s="57" t="s">
        <v>15</v>
      </c>
      <c r="B1" s="57"/>
      <c r="C1" s="57"/>
      <c r="D1" s="57"/>
      <c r="E1" s="57"/>
      <c r="F1" s="17"/>
    </row>
    <row r="3" spans="1:7" x14ac:dyDescent="0.35">
      <c r="A3" s="6" t="s">
        <v>16</v>
      </c>
    </row>
    <row r="4" spans="1:7" x14ac:dyDescent="0.35">
      <c r="A4" s="50" t="s">
        <v>25</v>
      </c>
      <c r="B4" s="51"/>
      <c r="C4" s="51"/>
      <c r="D4" s="52"/>
    </row>
    <row r="6" spans="1:7" x14ac:dyDescent="0.35">
      <c r="A6" s="6" t="s">
        <v>17</v>
      </c>
    </row>
    <row r="7" spans="1:7" x14ac:dyDescent="0.35">
      <c r="A7" s="53">
        <v>36607</v>
      </c>
      <c r="B7" s="52"/>
    </row>
    <row r="9" spans="1:7" x14ac:dyDescent="0.35">
      <c r="G9">
        <v>4</v>
      </c>
    </row>
    <row r="25" spans="7:7" x14ac:dyDescent="0.35">
      <c r="G25" t="b">
        <v>1</v>
      </c>
    </row>
    <row r="27" spans="7:7" x14ac:dyDescent="0.35">
      <c r="G27" t="b">
        <v>1</v>
      </c>
    </row>
    <row r="33" spans="7:7" x14ac:dyDescent="0.35">
      <c r="G33">
        <v>1</v>
      </c>
    </row>
    <row r="41" spans="7:7" x14ac:dyDescent="0.35">
      <c r="G41">
        <v>2</v>
      </c>
    </row>
    <row r="55" spans="7:7" x14ac:dyDescent="0.35">
      <c r="G55">
        <v>2</v>
      </c>
    </row>
    <row r="63" spans="7:7" x14ac:dyDescent="0.35">
      <c r="G63">
        <v>2</v>
      </c>
    </row>
    <row r="68" spans="1:5" ht="15" thickBot="1" x14ac:dyDescent="0.4"/>
    <row r="69" spans="1:5" ht="18.5" x14ac:dyDescent="0.45">
      <c r="A69" s="54" t="s">
        <v>18</v>
      </c>
      <c r="B69" s="55"/>
      <c r="C69" s="55"/>
      <c r="D69" s="55"/>
      <c r="E69" s="56"/>
    </row>
    <row r="70" spans="1:5" x14ac:dyDescent="0.35">
      <c r="A70" s="48" t="s">
        <v>16</v>
      </c>
      <c r="B70" s="49"/>
      <c r="C70" s="49"/>
      <c r="D70" s="30" t="str">
        <f>IF(A4="","",A4)</f>
        <v>Catarina Silva</v>
      </c>
      <c r="E70" s="43"/>
    </row>
    <row r="71" spans="1:5" x14ac:dyDescent="0.35">
      <c r="A71" s="48" t="s">
        <v>17</v>
      </c>
      <c r="B71" s="49"/>
      <c r="C71" s="49"/>
      <c r="D71" s="44">
        <f>IF(A7="","",A7)</f>
        <v>36607</v>
      </c>
      <c r="E71" s="45"/>
    </row>
    <row r="72" spans="1:5" x14ac:dyDescent="0.35">
      <c r="A72" s="48" t="s">
        <v>19</v>
      </c>
      <c r="B72" s="49"/>
      <c r="C72" s="49"/>
      <c r="D72" s="30" t="str">
        <f>IF(G9=1,"Solteiro(a)",IF(G9=2,"Casado(a)",IF(G9=3,"Separado(a)",IF(G9=4,"Divorciado(a)",IF(G9=5,"Viúvo(a)","")))))</f>
        <v>Divorciado(a)</v>
      </c>
      <c r="E72" s="43"/>
    </row>
    <row r="73" spans="1:5" x14ac:dyDescent="0.35">
      <c r="A73" s="48" t="s">
        <v>20</v>
      </c>
      <c r="B73" s="49"/>
      <c r="C73" s="49"/>
      <c r="D73" s="30" t="str">
        <f>_xlfn.CONCAT(IF(G25=TRUE,"Portuguesa",""),"/",IF(G27=TRUE,"Estrangeira",""))</f>
        <v>Portuguesa/Estrangeira</v>
      </c>
      <c r="E73" s="43"/>
    </row>
    <row r="74" spans="1:5" x14ac:dyDescent="0.35">
      <c r="A74" s="48" t="s">
        <v>21</v>
      </c>
      <c r="B74" s="49"/>
      <c r="C74" s="49"/>
      <c r="D74" s="30" t="str">
        <f>IF(G33=1,"Sim","Não")</f>
        <v>Sim</v>
      </c>
      <c r="E74" s="43"/>
    </row>
    <row r="75" spans="1:5" x14ac:dyDescent="0.35">
      <c r="A75" s="48" t="s">
        <v>22</v>
      </c>
      <c r="B75" s="49"/>
      <c r="C75" s="49"/>
      <c r="D75" s="30" t="str">
        <f>IF(G41=1,"Estudante",IF(G41=2,"1º Emprego",IF(G41=3,"Emprego a Prazo",IF(G41=4,"Emprego Efetivo",IF(G41=5,"Desempregado","")))))</f>
        <v>1º Emprego</v>
      </c>
      <c r="E75" s="43"/>
    </row>
    <row r="76" spans="1:5" x14ac:dyDescent="0.35">
      <c r="A76" s="48" t="s">
        <v>23</v>
      </c>
      <c r="B76" s="49"/>
      <c r="C76" s="49"/>
      <c r="D76" s="30" t="str">
        <f>IF(G55=1,"Sim","Não")</f>
        <v>Não</v>
      </c>
      <c r="E76" s="43"/>
    </row>
    <row r="77" spans="1:5" ht="15" thickBot="1" x14ac:dyDescent="0.4">
      <c r="A77" s="41" t="s">
        <v>24</v>
      </c>
      <c r="B77" s="42"/>
      <c r="C77" s="42"/>
      <c r="D77" s="46" t="str">
        <f>IF(G63=1,"Sim","Não")</f>
        <v>Não</v>
      </c>
      <c r="E77" s="47"/>
    </row>
  </sheetData>
  <mergeCells count="20">
    <mergeCell ref="A4:D4"/>
    <mergeCell ref="A7:B7"/>
    <mergeCell ref="A69:E69"/>
    <mergeCell ref="A1:E1"/>
    <mergeCell ref="A77:C77"/>
    <mergeCell ref="D70:E70"/>
    <mergeCell ref="D71:E71"/>
    <mergeCell ref="D72:E72"/>
    <mergeCell ref="D73:E73"/>
    <mergeCell ref="D74:E74"/>
    <mergeCell ref="D75:E75"/>
    <mergeCell ref="D76:E76"/>
    <mergeCell ref="D77:E77"/>
    <mergeCell ref="A76:C76"/>
    <mergeCell ref="A71:C71"/>
    <mergeCell ref="A70:C70"/>
    <mergeCell ref="A72:C72"/>
    <mergeCell ref="A74:C74"/>
    <mergeCell ref="A73:C73"/>
    <mergeCell ref="A75:C7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Option Button 2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95250</xdr:rowOff>
                  </from>
                  <to>
                    <xdr:col>2</xdr:col>
                    <xdr:colOff>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Option Button 3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82550</xdr:rowOff>
                  </from>
                  <to>
                    <xdr:col>2</xdr:col>
                    <xdr:colOff>0</xdr:colOff>
                    <xdr:row>12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Option Button 4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69850</xdr:rowOff>
                  </from>
                  <to>
                    <xdr:col>2</xdr:col>
                    <xdr:colOff>0</xdr:colOff>
                    <xdr:row>14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Option Button 5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57150</xdr:rowOff>
                  </from>
                  <to>
                    <xdr:col>2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Option Button 7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50800</xdr:rowOff>
                  </from>
                  <to>
                    <xdr:col>2</xdr:col>
                    <xdr:colOff>0</xdr:colOff>
                    <xdr:row>18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Group Box 8">
              <controlPr defaultSize="0" autoFill="0" autoPict="0">
                <anchor moveWithCells="1">
                  <from>
                    <xdr:col>0</xdr:col>
                    <xdr:colOff>0</xdr:colOff>
                    <xdr:row>22</xdr:row>
                    <xdr:rowOff>44450</xdr:rowOff>
                  </from>
                  <to>
                    <xdr:col>4</xdr:col>
                    <xdr:colOff>0</xdr:colOff>
                    <xdr:row>28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Check Box 9">
              <controlPr defaultSize="0" autoFill="0" autoLine="0" autoPict="0">
                <anchor moveWithCells="1">
                  <from>
                    <xdr:col>0</xdr:col>
                    <xdr:colOff>63500</xdr:colOff>
                    <xdr:row>23</xdr:row>
                    <xdr:rowOff>152400</xdr:rowOff>
                  </from>
                  <to>
                    <xdr:col>1</xdr:col>
                    <xdr:colOff>514350</xdr:colOff>
                    <xdr:row>25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2" name="Check Box 10">
              <controlPr defaultSize="0" autoFill="0" autoLine="0" autoPict="0">
                <anchor moveWithCells="1">
                  <from>
                    <xdr:col>0</xdr:col>
                    <xdr:colOff>63500</xdr:colOff>
                    <xdr:row>25</xdr:row>
                    <xdr:rowOff>114300</xdr:rowOff>
                  </from>
                  <to>
                    <xdr:col>1</xdr:col>
                    <xdr:colOff>514350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3" name="Group Box 11">
              <controlPr defaultSize="0" autoFill="0" autoPict="0">
                <anchor moveWithCells="1">
                  <from>
                    <xdr:col>0</xdr:col>
                    <xdr:colOff>0</xdr:colOff>
                    <xdr:row>30</xdr:row>
                    <xdr:rowOff>57150</xdr:rowOff>
                  </from>
                  <to>
                    <xdr:col>4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4" name="Option Button 12">
              <controlPr defaultSize="0" autoFill="0" autoLine="0" autoPict="0">
                <anchor moveWithCells="1">
                  <from>
                    <xdr:col>0</xdr:col>
                    <xdr:colOff>50800</xdr:colOff>
                    <xdr:row>31</xdr:row>
                    <xdr:rowOff>146050</xdr:rowOff>
                  </from>
                  <to>
                    <xdr:col>1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5" name="Option Button 13">
              <controlPr defaultSize="0" autoFill="0" autoLine="0" autoPict="0">
                <anchor moveWithCells="1">
                  <from>
                    <xdr:col>0</xdr:col>
                    <xdr:colOff>50800</xdr:colOff>
                    <xdr:row>33</xdr:row>
                    <xdr:rowOff>95250</xdr:rowOff>
                  </from>
                  <to>
                    <xdr:col>1</xdr:col>
                    <xdr:colOff>304800</xdr:colOff>
                    <xdr:row>34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6" name="Group Box 14">
              <controlPr defaultSize="0" autoFill="0" autoPict="0">
                <anchor moveWithCells="1">
                  <from>
                    <xdr:col>0</xdr:col>
                    <xdr:colOff>0</xdr:colOff>
                    <xdr:row>38</xdr:row>
                    <xdr:rowOff>44450</xdr:rowOff>
                  </from>
                  <to>
                    <xdr:col>4</xdr:col>
                    <xdr:colOff>0</xdr:colOff>
                    <xdr:row>50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7" name="Option Button 15">
              <controlPr defaultSize="0" autoFill="0" autoLine="0" autoPict="0">
                <anchor moveWithCells="1">
                  <from>
                    <xdr:col>0</xdr:col>
                    <xdr:colOff>63500</xdr:colOff>
                    <xdr:row>40</xdr:row>
                    <xdr:rowOff>0</xdr:rowOff>
                  </from>
                  <to>
                    <xdr:col>1</xdr:col>
                    <xdr:colOff>558800</xdr:colOff>
                    <xdr:row>41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8" name="Option Button 16">
              <controlPr defaultSize="0" autoFill="0" autoLine="0" autoPict="0">
                <anchor moveWithCells="1">
                  <from>
                    <xdr:col>0</xdr:col>
                    <xdr:colOff>69850</xdr:colOff>
                    <xdr:row>41</xdr:row>
                    <xdr:rowOff>152400</xdr:rowOff>
                  </from>
                  <to>
                    <xdr:col>1</xdr:col>
                    <xdr:colOff>565150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9" name="Option Button 17">
              <controlPr defaultSize="0" autoFill="0" autoLine="0" autoPict="0">
                <anchor moveWithCells="1">
                  <from>
                    <xdr:col>0</xdr:col>
                    <xdr:colOff>69850</xdr:colOff>
                    <xdr:row>43</xdr:row>
                    <xdr:rowOff>127000</xdr:rowOff>
                  </from>
                  <to>
                    <xdr:col>1</xdr:col>
                    <xdr:colOff>565150</xdr:colOff>
                    <xdr:row>44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0" name="Option Button 18">
              <controlPr defaultSize="0" autoFill="0" autoLine="0" autoPict="0">
                <anchor moveWithCells="1">
                  <from>
                    <xdr:col>0</xdr:col>
                    <xdr:colOff>69850</xdr:colOff>
                    <xdr:row>45</xdr:row>
                    <xdr:rowOff>95250</xdr:rowOff>
                  </from>
                  <to>
                    <xdr:col>1</xdr:col>
                    <xdr:colOff>565150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1" name="Option Button 19">
              <controlPr defaultSize="0" autoFill="0" autoLine="0" autoPict="0">
                <anchor moveWithCells="1">
                  <from>
                    <xdr:col>0</xdr:col>
                    <xdr:colOff>63500</xdr:colOff>
                    <xdr:row>47</xdr:row>
                    <xdr:rowOff>63500</xdr:rowOff>
                  </from>
                  <to>
                    <xdr:col>1</xdr:col>
                    <xdr:colOff>558800</xdr:colOff>
                    <xdr:row>48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2" name="Group Box 20">
              <controlPr defaultSize="0" autoFill="0" autoPict="0">
                <anchor moveWithCells="1">
                  <from>
                    <xdr:col>0</xdr:col>
                    <xdr:colOff>0</xdr:colOff>
                    <xdr:row>52</xdr:row>
                    <xdr:rowOff>57150</xdr:rowOff>
                  </from>
                  <to>
                    <xdr:col>4</xdr:col>
                    <xdr:colOff>603250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3" name="Option Button 21">
              <controlPr defaultSize="0" autoFill="0" autoLine="0" autoPict="0">
                <anchor moveWithCells="1">
                  <from>
                    <xdr:col>0</xdr:col>
                    <xdr:colOff>44450</xdr:colOff>
                    <xdr:row>53</xdr:row>
                    <xdr:rowOff>165100</xdr:rowOff>
                  </from>
                  <to>
                    <xdr:col>1</xdr:col>
                    <xdr:colOff>311150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4" name="Option Button 22">
              <controlPr defaultSize="0" autoFill="0" autoLine="0" autoPict="0">
                <anchor moveWithCells="1">
                  <from>
                    <xdr:col>0</xdr:col>
                    <xdr:colOff>44450</xdr:colOff>
                    <xdr:row>55</xdr:row>
                    <xdr:rowOff>88900</xdr:rowOff>
                  </from>
                  <to>
                    <xdr:col>1</xdr:col>
                    <xdr:colOff>311150</xdr:colOff>
                    <xdr:row>56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5" name="Group Box 23">
              <controlPr defaultSize="0" autoFill="0" autoPict="0">
                <anchor moveWithCells="1">
                  <from>
                    <xdr:col>0</xdr:col>
                    <xdr:colOff>0</xdr:colOff>
                    <xdr:row>60</xdr:row>
                    <xdr:rowOff>57150</xdr:rowOff>
                  </from>
                  <to>
                    <xdr:col>4</xdr:col>
                    <xdr:colOff>596900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6" name="Option Button 24">
              <controlPr defaultSize="0" autoFill="0" autoLine="0" autoPict="0">
                <anchor moveWithCells="1">
                  <from>
                    <xdr:col>0</xdr:col>
                    <xdr:colOff>50800</xdr:colOff>
                    <xdr:row>62</xdr:row>
                    <xdr:rowOff>6350</xdr:rowOff>
                  </from>
                  <to>
                    <xdr:col>1</xdr:col>
                    <xdr:colOff>336550</xdr:colOff>
                    <xdr:row>63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7" name="Option Button 25">
              <controlPr defaultSize="0" autoFill="0" autoLine="0" autoPict="0">
                <anchor moveWithCells="1">
                  <from>
                    <xdr:col>0</xdr:col>
                    <xdr:colOff>50800</xdr:colOff>
                    <xdr:row>63</xdr:row>
                    <xdr:rowOff>95250</xdr:rowOff>
                  </from>
                  <to>
                    <xdr:col>1</xdr:col>
                    <xdr:colOff>336550</xdr:colOff>
                    <xdr:row>64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3C053-95A6-4627-8217-AD96AD669138}">
  <dimension ref="A1:J9"/>
  <sheetViews>
    <sheetView tabSelected="1" workbookViewId="0">
      <selection activeCell="L11" sqref="L11"/>
    </sheetView>
  </sheetViews>
  <sheetFormatPr defaultRowHeight="14.5" x14ac:dyDescent="0.35"/>
  <cols>
    <col min="1" max="1" width="12.7265625" customWidth="1"/>
    <col min="2" max="2" width="12.6328125" customWidth="1"/>
    <col min="3" max="7" width="12.6328125" style="18" customWidth="1"/>
    <col min="8" max="8" width="3.36328125" customWidth="1"/>
    <col min="9" max="10" width="0" hidden="1" customWidth="1"/>
  </cols>
  <sheetData>
    <row r="1" spans="1:10" ht="15.5" x14ac:dyDescent="0.35">
      <c r="A1" s="19" t="s">
        <v>26</v>
      </c>
      <c r="B1" s="19" t="s">
        <v>27</v>
      </c>
      <c r="C1" s="19" t="s">
        <v>28</v>
      </c>
      <c r="D1" s="19" t="s">
        <v>29</v>
      </c>
      <c r="E1" s="19" t="s">
        <v>30</v>
      </c>
      <c r="F1" s="19" t="s">
        <v>31</v>
      </c>
      <c r="G1" s="19" t="s">
        <v>32</v>
      </c>
      <c r="I1">
        <v>3</v>
      </c>
      <c r="J1" t="str" cm="1">
        <f t="array" ref="J1">INDEX(A2:G9,I1,1)</f>
        <v>Marcos</v>
      </c>
    </row>
    <row r="2" spans="1:10" ht="15.5" x14ac:dyDescent="0.35">
      <c r="A2" s="20" t="s">
        <v>33</v>
      </c>
      <c r="B2" s="21">
        <v>30895.360000000001</v>
      </c>
      <c r="C2" s="21">
        <v>28889.23</v>
      </c>
      <c r="D2" s="21">
        <v>32789</v>
      </c>
      <c r="E2" s="21">
        <v>8</v>
      </c>
      <c r="F2" s="21">
        <v>32789.5</v>
      </c>
      <c r="G2" s="21">
        <v>22581.85</v>
      </c>
    </row>
    <row r="3" spans="1:10" ht="15.5" x14ac:dyDescent="0.35">
      <c r="A3" s="20" t="s">
        <v>34</v>
      </c>
      <c r="B3" s="21">
        <v>28354.21</v>
      </c>
      <c r="C3" s="21">
        <v>29258.36</v>
      </c>
      <c r="D3" s="21">
        <v>33258.1</v>
      </c>
      <c r="E3" s="21">
        <v>34210.6</v>
      </c>
      <c r="F3" s="21">
        <v>35124</v>
      </c>
      <c r="G3" s="21">
        <v>34210.6</v>
      </c>
    </row>
    <row r="4" spans="1:10" ht="15.5" x14ac:dyDescent="0.35">
      <c r="A4" s="20" t="s">
        <v>35</v>
      </c>
      <c r="B4" s="21">
        <v>35124</v>
      </c>
      <c r="C4" s="21">
        <v>30478.45</v>
      </c>
      <c r="D4" s="21">
        <v>29568.78</v>
      </c>
      <c r="E4" s="21">
        <v>29369.47</v>
      </c>
      <c r="F4" s="21">
        <v>29369.47</v>
      </c>
      <c r="G4" s="21">
        <v>35124</v>
      </c>
    </row>
    <row r="5" spans="1:10" ht="15.5" x14ac:dyDescent="0.35">
      <c r="A5" s="20" t="s">
        <v>36</v>
      </c>
      <c r="B5" s="21">
        <v>25899.69</v>
      </c>
      <c r="C5" s="21">
        <v>30698.09</v>
      </c>
      <c r="D5" s="21">
        <v>28954.37</v>
      </c>
      <c r="E5" s="21">
        <v>32587.99</v>
      </c>
      <c r="F5" s="21">
        <v>27355.119999999999</v>
      </c>
      <c r="G5" s="21">
        <v>26798.28</v>
      </c>
    </row>
    <row r="6" spans="1:10" ht="15.5" x14ac:dyDescent="0.35">
      <c r="A6" s="20" t="s">
        <v>37</v>
      </c>
      <c r="B6" s="21">
        <v>27355.119999999999</v>
      </c>
      <c r="C6" s="21">
        <v>22581.85</v>
      </c>
      <c r="D6" s="21">
        <v>27123.58</v>
      </c>
      <c r="E6" s="21">
        <v>29456.32</v>
      </c>
      <c r="F6" s="21">
        <v>25457.09</v>
      </c>
      <c r="G6" s="21">
        <v>20778.009999999998</v>
      </c>
    </row>
    <row r="7" spans="1:10" ht="15.5" x14ac:dyDescent="0.35">
      <c r="A7" s="20" t="s">
        <v>38</v>
      </c>
      <c r="B7" s="21">
        <v>18333.66</v>
      </c>
      <c r="C7" s="21">
        <v>22457.05</v>
      </c>
      <c r="D7" s="21">
        <v>25457.09</v>
      </c>
      <c r="E7" s="21">
        <v>26798.28</v>
      </c>
      <c r="F7" s="21">
        <v>20778.009999999998</v>
      </c>
      <c r="G7" s="21">
        <v>25893.14</v>
      </c>
    </row>
    <row r="8" spans="1:10" ht="15.5" x14ac:dyDescent="0.35">
      <c r="A8" s="20" t="s">
        <v>39</v>
      </c>
      <c r="B8" s="21">
        <v>20778.009999999998</v>
      </c>
      <c r="C8" s="21">
        <v>25893.14</v>
      </c>
      <c r="D8" s="21">
        <v>22778.38</v>
      </c>
      <c r="E8" s="21">
        <v>21697.27</v>
      </c>
      <c r="F8" s="21">
        <v>30895.360000000001</v>
      </c>
      <c r="G8" s="21">
        <v>28954.37</v>
      </c>
    </row>
    <row r="9" spans="1:10" ht="15.5" x14ac:dyDescent="0.35">
      <c r="A9" s="20" t="s">
        <v>40</v>
      </c>
      <c r="B9" s="21">
        <v>41227</v>
      </c>
      <c r="C9" s="21">
        <v>32789.5</v>
      </c>
      <c r="D9" s="21">
        <v>37841.21</v>
      </c>
      <c r="E9" s="21">
        <v>40332.89</v>
      </c>
      <c r="F9" s="21">
        <v>22778.38</v>
      </c>
      <c r="G9" s="21">
        <v>30478.45</v>
      </c>
    </row>
  </sheetData>
  <conditionalFormatting sqref="A2:G9">
    <cfRule type="expression" dxfId="0" priority="1">
      <formula>$A2=$J$1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Scroll Bar 2">
              <controlPr defaultSize="0" autoPict="0">
                <anchor moveWithCells="1">
                  <from>
                    <xdr:col>7</xdr:col>
                    <xdr:colOff>6350</xdr:colOff>
                    <xdr:row>0</xdr:row>
                    <xdr:rowOff>6350</xdr:rowOff>
                  </from>
                  <to>
                    <xdr:col>7</xdr:col>
                    <xdr:colOff>228600</xdr:colOff>
                    <xdr:row>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03C85-5635-4CCB-BDDF-E2415848305F}">
  <dimension ref="B4:B5"/>
  <sheetViews>
    <sheetView showGridLines="0" workbookViewId="0">
      <selection activeCell="E3" sqref="E3"/>
    </sheetView>
  </sheetViews>
  <sheetFormatPr defaultRowHeight="14.5" x14ac:dyDescent="0.35"/>
  <sheetData>
    <row r="4" spans="2:2" x14ac:dyDescent="0.35">
      <c r="B4" s="22" t="s">
        <v>41</v>
      </c>
    </row>
    <row r="5" spans="2:2" ht="35.5" customHeight="1" x14ac:dyDescent="0.35">
      <c r="B5" s="23">
        <v>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Spinner 1">
              <controlPr defaultSize="0" autoPict="0">
                <anchor moveWithCells="1" sizeWithCells="1">
                  <from>
                    <xdr:col>2</xdr:col>
                    <xdr:colOff>6350</xdr:colOff>
                    <xdr:row>4</xdr:row>
                    <xdr:rowOff>0</xdr:rowOff>
                  </from>
                  <to>
                    <xdr:col>2</xdr:col>
                    <xdr:colOff>273050</xdr:colOff>
                    <xdr:row>5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616F4-446A-4898-A59D-A21EBF04D648}">
  <dimension ref="A1:F12"/>
  <sheetViews>
    <sheetView workbookViewId="0">
      <selection activeCell="E18" sqref="E18"/>
    </sheetView>
  </sheetViews>
  <sheetFormatPr defaultRowHeight="14.5" x14ac:dyDescent="0.35"/>
  <cols>
    <col min="3" max="3" width="10.81640625" customWidth="1"/>
  </cols>
  <sheetData>
    <row r="1" spans="1:6" x14ac:dyDescent="0.35">
      <c r="A1" t="s">
        <v>42</v>
      </c>
    </row>
    <row r="2" spans="1:6" x14ac:dyDescent="0.35">
      <c r="A2" t="s">
        <v>43</v>
      </c>
      <c r="F2">
        <v>1</v>
      </c>
    </row>
    <row r="3" spans="1:6" x14ac:dyDescent="0.35">
      <c r="A3" s="18" t="s">
        <v>44</v>
      </c>
    </row>
    <row r="4" spans="1:6" x14ac:dyDescent="0.35">
      <c r="A4" s="18" t="s">
        <v>45</v>
      </c>
    </row>
    <row r="5" spans="1:6" x14ac:dyDescent="0.35">
      <c r="A5" s="18" t="s">
        <v>46</v>
      </c>
    </row>
    <row r="6" spans="1:6" x14ac:dyDescent="0.35">
      <c r="A6" s="18" t="s">
        <v>47</v>
      </c>
    </row>
    <row r="7" spans="1:6" x14ac:dyDescent="0.35">
      <c r="A7" s="18" t="s">
        <v>48</v>
      </c>
    </row>
    <row r="8" spans="1:6" x14ac:dyDescent="0.35">
      <c r="A8" s="18" t="s">
        <v>49</v>
      </c>
      <c r="C8" t="str" cm="1">
        <f t="array" ref="C8">INDEX(A:A,F2,1)</f>
        <v>Produto 1</v>
      </c>
    </row>
    <row r="9" spans="1:6" x14ac:dyDescent="0.35">
      <c r="A9" s="18" t="s">
        <v>50</v>
      </c>
    </row>
    <row r="10" spans="1:6" x14ac:dyDescent="0.35">
      <c r="A10" s="18" t="s">
        <v>51</v>
      </c>
    </row>
    <row r="11" spans="1:6" x14ac:dyDescent="0.35">
      <c r="A11" s="18" t="s">
        <v>52</v>
      </c>
    </row>
    <row r="12" spans="1:6" x14ac:dyDescent="0.35">
      <c r="A12" s="18" t="s">
        <v>53</v>
      </c>
    </row>
  </sheetData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List Box 1">
              <controlPr defaultSize="0" autoLine="0" autoPict="0">
                <anchor moveWithCells="1">
                  <from>
                    <xdr:col>2</xdr:col>
                    <xdr:colOff>12700</xdr:colOff>
                    <xdr:row>1</xdr:row>
                    <xdr:rowOff>6350</xdr:rowOff>
                  </from>
                  <to>
                    <xdr:col>3</xdr:col>
                    <xdr:colOff>342900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A646F-B5A6-4BFC-A804-1E7A4854D118}">
  <dimension ref="B3:G16"/>
  <sheetViews>
    <sheetView showGridLines="0" workbookViewId="0">
      <selection activeCell="F16" sqref="F16"/>
    </sheetView>
  </sheetViews>
  <sheetFormatPr defaultRowHeight="14.5" x14ac:dyDescent="0.35"/>
  <cols>
    <col min="2" max="2" width="11.7265625" style="24" customWidth="1"/>
    <col min="3" max="3" width="10.453125" style="24" bestFit="1" customWidth="1"/>
    <col min="5" max="5" width="11.6328125" customWidth="1"/>
    <col min="6" max="6" width="10.453125" bestFit="1" customWidth="1"/>
    <col min="7" max="7" width="0" hidden="1" customWidth="1"/>
  </cols>
  <sheetData>
    <row r="3" spans="2:7" x14ac:dyDescent="0.35">
      <c r="B3" s="27" t="s">
        <v>26</v>
      </c>
      <c r="C3" s="27" t="s">
        <v>54</v>
      </c>
      <c r="E3" s="27" t="s">
        <v>26</v>
      </c>
      <c r="F3" s="27" t="s">
        <v>54</v>
      </c>
    </row>
    <row r="4" spans="2:7" x14ac:dyDescent="0.35">
      <c r="B4" s="25" t="s">
        <v>55</v>
      </c>
      <c r="C4" s="26">
        <v>1500</v>
      </c>
      <c r="E4" s="28" t="str" cm="1">
        <f t="array" ref="E4">INDEX(B:B,G5+3,1)</f>
        <v>Vanessa</v>
      </c>
      <c r="F4" s="29">
        <f>INDEX(C:C,MATCH(E4,B:B,0),1)</f>
        <v>975</v>
      </c>
    </row>
    <row r="5" spans="2:7" x14ac:dyDescent="0.35">
      <c r="B5" s="25" t="s">
        <v>56</v>
      </c>
      <c r="C5" s="26">
        <v>1200</v>
      </c>
      <c r="G5" s="15">
        <v>13</v>
      </c>
    </row>
    <row r="6" spans="2:7" x14ac:dyDescent="0.35">
      <c r="B6" s="25" t="s">
        <v>57</v>
      </c>
      <c r="C6" s="26">
        <v>1350</v>
      </c>
    </row>
    <row r="7" spans="2:7" x14ac:dyDescent="0.35">
      <c r="B7" s="25" t="s">
        <v>40</v>
      </c>
      <c r="C7" s="26">
        <v>990</v>
      </c>
    </row>
    <row r="8" spans="2:7" x14ac:dyDescent="0.35">
      <c r="B8" s="25" t="s">
        <v>58</v>
      </c>
      <c r="C8" s="26">
        <v>1100</v>
      </c>
    </row>
    <row r="9" spans="2:7" x14ac:dyDescent="0.35">
      <c r="B9" s="25" t="s">
        <v>59</v>
      </c>
      <c r="C9" s="26">
        <v>1235</v>
      </c>
    </row>
    <row r="10" spans="2:7" x14ac:dyDescent="0.35">
      <c r="B10" s="25" t="s">
        <v>60</v>
      </c>
      <c r="C10" s="26">
        <v>1460</v>
      </c>
    </row>
    <row r="11" spans="2:7" x14ac:dyDescent="0.35">
      <c r="B11" s="25" t="s">
        <v>61</v>
      </c>
      <c r="C11" s="26">
        <v>1390</v>
      </c>
    </row>
    <row r="12" spans="2:7" x14ac:dyDescent="0.35">
      <c r="B12" s="25" t="s">
        <v>62</v>
      </c>
      <c r="C12" s="26">
        <v>1005</v>
      </c>
    </row>
    <row r="13" spans="2:7" x14ac:dyDescent="0.35">
      <c r="B13" s="25" t="s">
        <v>40</v>
      </c>
      <c r="C13" s="26">
        <v>980</v>
      </c>
    </row>
    <row r="14" spans="2:7" x14ac:dyDescent="0.35">
      <c r="B14" s="25" t="s">
        <v>63</v>
      </c>
      <c r="C14" s="26">
        <v>2000</v>
      </c>
    </row>
    <row r="15" spans="2:7" x14ac:dyDescent="0.35">
      <c r="B15" s="25" t="s">
        <v>64</v>
      </c>
      <c r="C15" s="26">
        <v>1220</v>
      </c>
    </row>
    <row r="16" spans="2:7" x14ac:dyDescent="0.35">
      <c r="B16" s="25" t="s">
        <v>65</v>
      </c>
      <c r="C16" s="26">
        <v>975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List Box 1">
              <controlPr defaultSize="0" autoLine="0" autoPict="0">
                <anchor moveWithCells="1">
                  <from>
                    <xdr:col>3</xdr:col>
                    <xdr:colOff>603250</xdr:colOff>
                    <xdr:row>5</xdr:row>
                    <xdr:rowOff>19050</xdr:rowOff>
                  </from>
                  <to>
                    <xdr:col>5</xdr:col>
                    <xdr:colOff>723900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Combo box</vt:lpstr>
      <vt:lpstr>Dados1</vt:lpstr>
      <vt:lpstr>CheckBox-OptionButton-GroupBox</vt:lpstr>
      <vt:lpstr>Desafio 1</vt:lpstr>
      <vt:lpstr>Desafio 2</vt:lpstr>
      <vt:lpstr>Scroll Bar</vt:lpstr>
      <vt:lpstr>Spin Button</vt:lpstr>
      <vt:lpstr>List Box</vt:lpstr>
      <vt:lpstr>Desafio 3</vt:lpstr>
    </vt:vector>
  </TitlesOfParts>
  <Company>Yazaki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Catarina</dc:creator>
  <cp:lastModifiedBy>Silva, Catarina</cp:lastModifiedBy>
  <dcterms:created xsi:type="dcterms:W3CDTF">2025-01-02T14:08:19Z</dcterms:created>
  <dcterms:modified xsi:type="dcterms:W3CDTF">2025-01-21T10:51:27Z</dcterms:modified>
</cp:coreProperties>
</file>